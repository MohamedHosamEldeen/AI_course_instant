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_AI_Instant_\Excel\"/>
    </mc:Choice>
  </mc:AlternateContent>
  <xr:revisionPtr revIDLastSave="0" documentId="13_ncr:1_{BD94B481-05C0-43D8-B46C-FBDAC04DCD8D}" xr6:coauthVersionLast="47" xr6:coauthVersionMax="47" xr10:uidLastSave="{00000000-0000-0000-0000-000000000000}"/>
  <bookViews>
    <workbookView xWindow="-19320" yWindow="5835" windowWidth="19440" windowHeight="14880" xr2:uid="{50AE3BC6-D37D-4E6C-8C27-AD99A5A01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2" i="1"/>
  <c r="H3" i="1"/>
  <c r="H2" i="1"/>
  <c r="G2" i="1" a="1"/>
  <c r="D2" i="1" a="1"/>
  <c r="F4" i="1"/>
  <c r="F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<sst xmlns="http://schemas.openxmlformats.org/spreadsheetml/2006/main" count="68" uniqueCount="40">
  <si>
    <t>Rep Name</t>
  </si>
  <si>
    <t>Sale Amount</t>
  </si>
  <si>
    <t>Region</t>
  </si>
  <si>
    <t>Alice</t>
  </si>
  <si>
    <t>North</t>
  </si>
  <si>
    <t>South</t>
  </si>
  <si>
    <t>East</t>
  </si>
  <si>
    <t>Diana</t>
  </si>
  <si>
    <t>West</t>
  </si>
  <si>
    <t>Ethan</t>
  </si>
  <si>
    <t>Fiona</t>
  </si>
  <si>
    <t>George</t>
  </si>
  <si>
    <t>Hannah</t>
  </si>
  <si>
    <t>Ian</t>
  </si>
  <si>
    <t>Julia</t>
  </si>
  <si>
    <t>Kevin</t>
  </si>
  <si>
    <t>Laura</t>
  </si>
  <si>
    <t>Michael</t>
  </si>
  <si>
    <t>Nina</t>
  </si>
  <si>
    <t>Oscar</t>
  </si>
  <si>
    <t>Paula</t>
  </si>
  <si>
    <t>Quentin</t>
  </si>
  <si>
    <t>Rachel</t>
  </si>
  <si>
    <t>Steven</t>
  </si>
  <si>
    <t>Tina</t>
  </si>
  <si>
    <t>Umar</t>
  </si>
  <si>
    <t>Victoria</t>
  </si>
  <si>
    <t>William</t>
  </si>
  <si>
    <t>Xenia</t>
  </si>
  <si>
    <t>Yusuf</t>
  </si>
  <si>
    <t>Zara</t>
  </si>
  <si>
    <t>Adam</t>
  </si>
  <si>
    <t>Bella</t>
  </si>
  <si>
    <t>Chris</t>
  </si>
  <si>
    <t>Daisy</t>
  </si>
  <si>
    <t>Sum_amount</t>
  </si>
  <si>
    <t>avg</t>
  </si>
  <si>
    <t>Bouns</t>
  </si>
  <si>
    <t>Bonus Payout</t>
  </si>
  <si>
    <t>Rep Name – RegionRep Name –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</si>
</sst>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4964-D563-4F51-BE91-5C0B44B2B8AB}">
  <dimension ref="A1:I31"/>
  <sheetViews>
    <sheetView tabSelected="1" zoomScale="85" zoomScaleNormal="85" workbookViewId="0">
      <selection activeCell="E5" sqref="E5"/>
    </sheetView>
  </sheetViews>
  <sheetFormatPr defaultRowHeight="14.5" x14ac:dyDescent="0.35"/>
  <cols>
    <col min="2" max="2" width="7.36328125" bestFit="1" customWidth="1"/>
    <col min="5" max="5" width="11.6328125" customWidth="1"/>
    <col min="7" max="7" width="12.6328125" customWidth="1"/>
    <col min="8" max="8" width="16.08984375" customWidth="1"/>
    <col min="9" max="9" width="17.453125" customWidth="1"/>
  </cols>
  <sheetData>
    <row r="1" spans="1:9" ht="29" x14ac:dyDescent="0.5">
      <c r="A1" s="1" t="s">
        <v>0</v>
      </c>
      <c r="B1" s="3" t="s">
        <v>1</v>
      </c>
      <c r="C1" s="1" t="s">
        <v>2</v>
      </c>
      <c r="D1" s="6" t="s">
        <v>37</v>
      </c>
      <c r="G1" t="s">
        <v>38</v>
      </c>
      <c r="H1" t="s">
        <v>39</v>
      </c>
    </row>
    <row r="2" spans="1:9" x14ac:dyDescent="0.35">
      <c r="A2" s="4" t="s">
        <v>3</v>
      </c>
      <c r="B2" s="2">
        <v>850</v>
      </c>
      <c r="C2" s="4" t="s">
        <v>4</v>
      </c>
      <c r="D2" t="str" cm="1">
        <f t="array" ref="D2:D31">IF(B2:B31&gt;=1000,"Bonus","No Bonus")</f>
        <v>No Bonus</v>
      </c>
      <c r="G2" cm="1">
        <f t="array" ref="G2:G31">IF(B2:B31&gt;=1000,ROUND(B2:B31*0.1,2),0)</f>
        <v>0</v>
      </c>
      <c r="H2" t="str">
        <f>_xlfn.CONCAT(A2," - ",C2)</f>
        <v>Alice - North</v>
      </c>
      <c r="I2" t="str">
        <f>_xlfn.TEXTJOIN(" - ",TRUE,A2,C2)</f>
        <v>Alice - North</v>
      </c>
    </row>
    <row r="3" spans="1:9" x14ac:dyDescent="0.35">
      <c r="A3" s="4" t="s">
        <v>14</v>
      </c>
      <c r="B3" s="2">
        <v>1250</v>
      </c>
      <c r="C3" s="4" t="s">
        <v>5</v>
      </c>
      <c r="D3" t="str">
        <v>Bonus</v>
      </c>
      <c r="E3" s="5" t="s">
        <v>35</v>
      </c>
      <c r="F3">
        <f>SUM(B2:B31)</f>
        <v>35925</v>
      </c>
      <c r="G3">
        <v>125</v>
      </c>
      <c r="H3" t="str">
        <f>_xlfn.CONCAT(A3," - ",C3)</f>
        <v>Julia - South</v>
      </c>
      <c r="I3" t="str">
        <f>_xlfn.TEXTJOIN(" - ",TRUE,A2,C2)</f>
        <v>Alice - North</v>
      </c>
    </row>
    <row r="4" spans="1:9" x14ac:dyDescent="0.35">
      <c r="A4" s="4" t="s">
        <v>3</v>
      </c>
      <c r="B4" s="2">
        <v>980</v>
      </c>
      <c r="C4" s="4" t="s">
        <v>6</v>
      </c>
      <c r="D4" t="str">
        <v>No Bonus</v>
      </c>
      <c r="E4" s="5" t="s">
        <v>36</v>
      </c>
      <c r="F4">
        <f>AVERAGE(B2:B31)</f>
        <v>1197.5</v>
      </c>
      <c r="G4">
        <v>0</v>
      </c>
    </row>
    <row r="5" spans="1:9" x14ac:dyDescent="0.35">
      <c r="A5" s="4" t="s">
        <v>7</v>
      </c>
      <c r="B5" s="2">
        <v>1500</v>
      </c>
      <c r="C5" s="4" t="s">
        <v>8</v>
      </c>
      <c r="D5" t="str">
        <v>Bonus</v>
      </c>
      <c r="G5">
        <v>150</v>
      </c>
    </row>
    <row r="6" spans="1:9" x14ac:dyDescent="0.35">
      <c r="A6" s="4" t="s">
        <v>9</v>
      </c>
      <c r="B6" s="2">
        <v>720</v>
      </c>
      <c r="C6" s="4" t="s">
        <v>4</v>
      </c>
      <c r="D6" t="str">
        <v>No Bonus</v>
      </c>
      <c r="G6">
        <v>0</v>
      </c>
    </row>
    <row r="7" spans="1:9" x14ac:dyDescent="0.35">
      <c r="A7" s="4" t="s">
        <v>10</v>
      </c>
      <c r="B7" s="2">
        <v>2100</v>
      </c>
      <c r="C7" s="4" t="s">
        <v>5</v>
      </c>
      <c r="D7" t="str">
        <v>Bonus</v>
      </c>
      <c r="G7">
        <v>210</v>
      </c>
    </row>
    <row r="8" spans="1:9" x14ac:dyDescent="0.35">
      <c r="A8" s="4" t="s">
        <v>11</v>
      </c>
      <c r="B8" s="2">
        <v>1350</v>
      </c>
      <c r="C8" s="4" t="s">
        <v>6</v>
      </c>
      <c r="D8" t="str">
        <v>Bonus</v>
      </c>
      <c r="G8">
        <v>135</v>
      </c>
    </row>
    <row r="9" spans="1:9" x14ac:dyDescent="0.35">
      <c r="A9" s="4" t="s">
        <v>12</v>
      </c>
      <c r="B9" s="2">
        <v>890</v>
      </c>
      <c r="C9" s="4" t="s">
        <v>8</v>
      </c>
      <c r="D9" t="str">
        <v>No Bonus</v>
      </c>
      <c r="G9">
        <v>0</v>
      </c>
    </row>
    <row r="10" spans="1:9" x14ac:dyDescent="0.35">
      <c r="A10" s="4" t="s">
        <v>13</v>
      </c>
      <c r="B10" s="2">
        <v>1750</v>
      </c>
      <c r="C10" s="4" t="s">
        <v>4</v>
      </c>
      <c r="D10" t="str">
        <v>Bonus</v>
      </c>
      <c r="G10">
        <v>175</v>
      </c>
    </row>
    <row r="11" spans="1:9" x14ac:dyDescent="0.35">
      <c r="A11" s="4" t="s">
        <v>14</v>
      </c>
      <c r="B11" s="2">
        <v>640</v>
      </c>
      <c r="C11" s="4" t="s">
        <v>5</v>
      </c>
      <c r="D11" t="str">
        <v>No Bonus</v>
      </c>
      <c r="G11">
        <v>0</v>
      </c>
    </row>
    <row r="12" spans="1:9" x14ac:dyDescent="0.35">
      <c r="A12" s="4" t="s">
        <v>15</v>
      </c>
      <c r="B12" s="2">
        <v>1120</v>
      </c>
      <c r="C12" s="4" t="s">
        <v>6</v>
      </c>
      <c r="D12" t="str">
        <v>Bonus</v>
      </c>
      <c r="G12">
        <v>112</v>
      </c>
    </row>
    <row r="13" spans="1:9" x14ac:dyDescent="0.35">
      <c r="A13" s="4" t="s">
        <v>16</v>
      </c>
      <c r="B13" s="2">
        <v>940</v>
      </c>
      <c r="C13" s="4" t="s">
        <v>8</v>
      </c>
      <c r="D13" t="str">
        <v>No Bonus</v>
      </c>
      <c r="G13">
        <v>0</v>
      </c>
    </row>
    <row r="14" spans="1:9" x14ac:dyDescent="0.35">
      <c r="A14" s="4" t="s">
        <v>17</v>
      </c>
      <c r="B14" s="2">
        <v>1850</v>
      </c>
      <c r="C14" s="4" t="s">
        <v>4</v>
      </c>
      <c r="D14" t="str">
        <v>Bonus</v>
      </c>
      <c r="G14">
        <v>185</v>
      </c>
    </row>
    <row r="15" spans="1:9" x14ac:dyDescent="0.35">
      <c r="A15" s="4" t="s">
        <v>18</v>
      </c>
      <c r="B15" s="2">
        <v>780</v>
      </c>
      <c r="C15" s="4" t="s">
        <v>5</v>
      </c>
      <c r="D15" t="str">
        <v>No Bonus</v>
      </c>
      <c r="G15">
        <v>0</v>
      </c>
    </row>
    <row r="16" spans="1:9" x14ac:dyDescent="0.35">
      <c r="A16" s="4" t="s">
        <v>19</v>
      </c>
      <c r="B16" s="2">
        <v>1300</v>
      </c>
      <c r="C16" s="4" t="s">
        <v>6</v>
      </c>
      <c r="D16" t="str">
        <v>Bonus</v>
      </c>
      <c r="G16">
        <v>130</v>
      </c>
    </row>
    <row r="17" spans="1:7" x14ac:dyDescent="0.35">
      <c r="A17" s="4" t="s">
        <v>20</v>
      </c>
      <c r="B17" s="2">
        <v>990</v>
      </c>
      <c r="C17" s="4" t="s">
        <v>8</v>
      </c>
      <c r="D17" t="str">
        <v>No Bonus</v>
      </c>
      <c r="G17">
        <v>0</v>
      </c>
    </row>
    <row r="18" spans="1:7" x14ac:dyDescent="0.35">
      <c r="A18" s="4" t="s">
        <v>21</v>
      </c>
      <c r="B18" s="2">
        <v>1425</v>
      </c>
      <c r="C18" s="4" t="s">
        <v>4</v>
      </c>
      <c r="D18" t="str">
        <v>Bonus</v>
      </c>
      <c r="G18">
        <v>142.5</v>
      </c>
    </row>
    <row r="19" spans="1:7" x14ac:dyDescent="0.35">
      <c r="A19" s="4" t="s">
        <v>22</v>
      </c>
      <c r="B19" s="2">
        <v>670</v>
      </c>
      <c r="C19" s="4" t="s">
        <v>5</v>
      </c>
      <c r="D19" t="str">
        <v>No Bonus</v>
      </c>
      <c r="G19">
        <v>0</v>
      </c>
    </row>
    <row r="20" spans="1:7" x14ac:dyDescent="0.35">
      <c r="A20" s="4" t="s">
        <v>23</v>
      </c>
      <c r="B20" s="2">
        <v>2200</v>
      </c>
      <c r="C20" s="4" t="s">
        <v>6</v>
      </c>
      <c r="D20" t="str">
        <v>Bonus</v>
      </c>
      <c r="G20">
        <v>220</v>
      </c>
    </row>
    <row r="21" spans="1:7" x14ac:dyDescent="0.35">
      <c r="A21" s="4" t="s">
        <v>24</v>
      </c>
      <c r="B21" s="2">
        <v>1050</v>
      </c>
      <c r="C21" s="4" t="s">
        <v>8</v>
      </c>
      <c r="D21" t="str">
        <v>Bonus</v>
      </c>
      <c r="G21">
        <v>105</v>
      </c>
    </row>
    <row r="22" spans="1:7" x14ac:dyDescent="0.35">
      <c r="A22" s="4" t="s">
        <v>25</v>
      </c>
      <c r="B22" s="2">
        <v>880</v>
      </c>
      <c r="C22" s="4" t="s">
        <v>4</v>
      </c>
      <c r="D22" t="str">
        <v>No Bonus</v>
      </c>
      <c r="G22">
        <v>0</v>
      </c>
    </row>
    <row r="23" spans="1:7" x14ac:dyDescent="0.35">
      <c r="A23" s="4" t="s">
        <v>26</v>
      </c>
      <c r="B23" s="2">
        <v>1600</v>
      </c>
      <c r="C23" s="4" t="s">
        <v>5</v>
      </c>
      <c r="D23" t="str">
        <v>Bonus</v>
      </c>
      <c r="G23">
        <v>160</v>
      </c>
    </row>
    <row r="24" spans="1:7" x14ac:dyDescent="0.35">
      <c r="A24" s="4" t="s">
        <v>27</v>
      </c>
      <c r="B24" s="2">
        <v>950</v>
      </c>
      <c r="C24" s="4" t="s">
        <v>6</v>
      </c>
      <c r="D24" t="str">
        <v>No Bonus</v>
      </c>
      <c r="G24">
        <v>0</v>
      </c>
    </row>
    <row r="25" spans="1:7" x14ac:dyDescent="0.35">
      <c r="A25" s="4" t="s">
        <v>28</v>
      </c>
      <c r="B25" s="2">
        <v>1180</v>
      </c>
      <c r="C25" s="4" t="s">
        <v>8</v>
      </c>
      <c r="D25" t="str">
        <v>Bonus</v>
      </c>
      <c r="G25">
        <v>118</v>
      </c>
    </row>
    <row r="26" spans="1:7" x14ac:dyDescent="0.35">
      <c r="A26" s="4" t="s">
        <v>29</v>
      </c>
      <c r="B26" s="2">
        <v>760</v>
      </c>
      <c r="C26" s="4" t="s">
        <v>4</v>
      </c>
      <c r="D26" t="str">
        <v>No Bonus</v>
      </c>
      <c r="G26">
        <v>0</v>
      </c>
    </row>
    <row r="27" spans="1:7" x14ac:dyDescent="0.35">
      <c r="A27" s="4" t="s">
        <v>30</v>
      </c>
      <c r="B27" s="2">
        <v>1990</v>
      </c>
      <c r="C27" s="4" t="s">
        <v>5</v>
      </c>
      <c r="D27" t="str">
        <v>Bonus</v>
      </c>
      <c r="G27">
        <v>199</v>
      </c>
    </row>
    <row r="28" spans="1:7" x14ac:dyDescent="0.35">
      <c r="A28" s="4" t="s">
        <v>31</v>
      </c>
      <c r="B28" s="2">
        <v>1450</v>
      </c>
      <c r="C28" s="4" t="s">
        <v>6</v>
      </c>
      <c r="D28" t="str">
        <v>Bonus</v>
      </c>
      <c r="G28">
        <v>145</v>
      </c>
    </row>
    <row r="29" spans="1:7" x14ac:dyDescent="0.35">
      <c r="A29" s="4" t="s">
        <v>32</v>
      </c>
      <c r="B29" s="2">
        <v>830</v>
      </c>
      <c r="C29" s="4" t="s">
        <v>8</v>
      </c>
      <c r="D29" t="str">
        <v>No Bonus</v>
      </c>
      <c r="G29">
        <v>0</v>
      </c>
    </row>
    <row r="30" spans="1:7" x14ac:dyDescent="0.35">
      <c r="A30" s="4" t="s">
        <v>33</v>
      </c>
      <c r="B30" s="2">
        <v>1010</v>
      </c>
      <c r="C30" s="4" t="s">
        <v>4</v>
      </c>
      <c r="D30" t="str">
        <v>Bonus</v>
      </c>
      <c r="G30">
        <v>101</v>
      </c>
    </row>
    <row r="31" spans="1:7" x14ac:dyDescent="0.35">
      <c r="A31" s="4" t="s">
        <v>34</v>
      </c>
      <c r="B31" s="2">
        <v>920</v>
      </c>
      <c r="C31" s="4" t="s">
        <v>5</v>
      </c>
      <c r="D31" t="str">
        <v>No Bonus</v>
      </c>
      <c r="G3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Hosam Eldeen</dc:creator>
  <cp:lastModifiedBy>Mohamed Hosam Eldeen</cp:lastModifiedBy>
  <dcterms:created xsi:type="dcterms:W3CDTF">2026-08-17T13:49:48Z</dcterms:created>
  <dcterms:modified xsi:type="dcterms:W3CDTF">2026-08-18T11:37:13Z</dcterms:modified>
</cp:coreProperties>
</file>