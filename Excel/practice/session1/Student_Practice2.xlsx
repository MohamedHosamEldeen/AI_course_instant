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Course_AI_Instant_\Excel\practice\"/>
    </mc:Choice>
  </mc:AlternateContent>
  <xr:revisionPtr revIDLastSave="0" documentId="13_ncr:1_{5B4EC9CA-47BE-4AC3-AE5B-3C76ED171E99}" xr6:coauthVersionLast="47" xr6:coauthVersionMax="47" xr10:uidLastSave="{00000000-0000-0000-0000-000000000000}"/>
  <bookViews>
    <workbookView xWindow="-19320" yWindow="5835" windowWidth="19440" windowHeight="14880" xr2:uid="{00000000-000D-0000-FFFF-FFFF00000000}"/>
  </bookViews>
  <sheets>
    <sheet name="Student Grades" sheetId="1" r:id="rId1"/>
    <sheet name="Lookup Practice" sheetId="2" r:id="rId2"/>
  </sheets>
  <definedNames>
    <definedName name="_xlnm._FilterDatabase" localSheetId="0" hidden="1">'Student Grades'!$A$3:$D$43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13" i="1"/>
  <c r="G12" i="1"/>
  <c r="G10" i="1" a="1"/>
  <c r="H10" i="1"/>
  <c r="G8" i="1"/>
  <c r="G7" i="1"/>
  <c r="G6" i="1"/>
  <c r="B10" i="2"/>
  <c r="B9" i="2"/>
  <c r="B6" i="2"/>
  <c r="B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<sst xmlns="http://schemas.openxmlformats.org/spreadsheetml/2006/main" count="96" uniqueCount="60">
  <si>
    <t>Student Grades Table</t>
  </si>
  <si>
    <t>ID</t>
  </si>
  <si>
    <t>Name</t>
  </si>
  <si>
    <t>Subject</t>
  </si>
  <si>
    <t>Score</t>
  </si>
  <si>
    <t>Ahmed Hassan</t>
  </si>
  <si>
    <t>SQL</t>
  </si>
  <si>
    <t>Omar Ali</t>
  </si>
  <si>
    <t>Python</t>
  </si>
  <si>
    <t>Mohamed Adel</t>
  </si>
  <si>
    <t>Excel</t>
  </si>
  <si>
    <t>Youssef Khaled</t>
  </si>
  <si>
    <t>Statistics</t>
  </si>
  <si>
    <t>Mahmoud Samir</t>
  </si>
  <si>
    <t>Amr Mostafa</t>
  </si>
  <si>
    <t>Karim Tarek</t>
  </si>
  <si>
    <t>Adam Wael</t>
  </si>
  <si>
    <t>Seif Ahmed</t>
  </si>
  <si>
    <t>Ziad Hossam</t>
  </si>
  <si>
    <t>Mariam Mohamed</t>
  </si>
  <si>
    <t>Nour Adel</t>
  </si>
  <si>
    <t>Jana Khaled</t>
  </si>
  <si>
    <t>Salma Hassan</t>
  </si>
  <si>
    <t>Farida Ali</t>
  </si>
  <si>
    <t>Malak Samir</t>
  </si>
  <si>
    <t>Hana Mostafa</t>
  </si>
  <si>
    <t>Laila Tarek</t>
  </si>
  <si>
    <t>Aya Wael</t>
  </si>
  <si>
    <t>Nadine Ahmed</t>
  </si>
  <si>
    <t>Ibrahim Hassan</t>
  </si>
  <si>
    <t>Abdullah Ali</t>
  </si>
  <si>
    <t>Yassin Adel</t>
  </si>
  <si>
    <t>Khaled Mohamed</t>
  </si>
  <si>
    <t>Mostafa Samir</t>
  </si>
  <si>
    <t>Othman Khaled</t>
  </si>
  <si>
    <t>Tamer Hossam</t>
  </si>
  <si>
    <t>Sherif Ahmed</t>
  </si>
  <si>
    <t>Hossam Wael</t>
  </si>
  <si>
    <t>Ayman Tarek</t>
  </si>
  <si>
    <t>Menna Hassan</t>
  </si>
  <si>
    <t>Habiba Ali</t>
  </si>
  <si>
    <t>Nada Mohamed</t>
  </si>
  <si>
    <t>Esraa Khaled</t>
  </si>
  <si>
    <t>Reem Samir</t>
  </si>
  <si>
    <t>Sara Mostafa</t>
  </si>
  <si>
    <t>Yara Tarek</t>
  </si>
  <si>
    <t>Rana Ahmed</t>
  </si>
  <si>
    <t>Dina Wael</t>
  </si>
  <si>
    <t>Mai Hossam</t>
  </si>
  <si>
    <t>Student Grades Lookup Practice</t>
  </si>
  <si>
    <t>Enter Student ID:</t>
  </si>
  <si>
    <t>XLOOKUP Result:</t>
  </si>
  <si>
    <t>INDEX + MATCH Result:</t>
  </si>
  <si>
    <t>Test missing ID:</t>
  </si>
  <si>
    <t>XLOOKUP:</t>
  </si>
  <si>
    <t>INDEX + MATCH:</t>
  </si>
  <si>
    <t>Why INDEX + MATCH still matters:</t>
  </si>
  <si>
    <t>It remains useful for compatibility with older Excel versions and for flexible lookup combinations.</t>
  </si>
  <si>
    <t>xlook</t>
  </si>
  <si>
    <t>index+match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</si>
</sst>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0" fillId="3" borderId="0" xfId="0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>
      <pane ySplit="3" topLeftCell="A4" activePane="bottomLeft" state="frozen"/>
      <selection pane="bottomLeft" activeCell="E15" sqref="E15"/>
    </sheetView>
  </sheetViews>
  <sheetFormatPr defaultRowHeight="14.5" x14ac:dyDescent="0.35"/>
  <cols>
    <col min="1" max="1" width="12" customWidth="1"/>
    <col min="2" max="2" width="22" customWidth="1"/>
    <col min="3" max="3" width="15" customWidth="1"/>
    <col min="4" max="4" width="12" customWidth="1"/>
    <col min="6" max="6" width="10.6328125" customWidth="1"/>
    <col min="7" max="7" width="16.36328125" customWidth="1"/>
  </cols>
  <sheetData>
    <row r="1" spans="1:8" ht="21" x14ac:dyDescent="0.5">
      <c r="A1" s="5" t="s">
        <v>0</v>
      </c>
      <c r="B1" s="6"/>
      <c r="C1" s="6"/>
      <c r="D1" s="6"/>
    </row>
    <row r="3" spans="1:8" x14ac:dyDescent="0.35">
      <c r="A3" s="1" t="s">
        <v>1</v>
      </c>
      <c r="B3" s="1" t="s">
        <v>2</v>
      </c>
      <c r="C3" s="1" t="s">
        <v>3</v>
      </c>
      <c r="D3" s="1" t="s">
        <v>4</v>
      </c>
    </row>
    <row r="4" spans="1:8" x14ac:dyDescent="0.35">
      <c r="A4" s="2">
        <v>1001</v>
      </c>
      <c r="B4" s="2" t="s">
        <v>5</v>
      </c>
      <c r="C4" s="2" t="s">
        <v>6</v>
      </c>
      <c r="D4" s="2">
        <v>88</v>
      </c>
    </row>
    <row r="5" spans="1:8" x14ac:dyDescent="0.35">
      <c r="A5" s="2">
        <v>1002</v>
      </c>
      <c r="B5" s="2" t="s">
        <v>7</v>
      </c>
      <c r="C5" s="2" t="s">
        <v>8</v>
      </c>
      <c r="D5" s="2">
        <v>76</v>
      </c>
    </row>
    <row r="6" spans="1:8" x14ac:dyDescent="0.35">
      <c r="A6" s="2">
        <v>1003</v>
      </c>
      <c r="B6" s="2" t="s">
        <v>9</v>
      </c>
      <c r="C6" s="2" t="s">
        <v>10</v>
      </c>
      <c r="D6" s="2">
        <v>92</v>
      </c>
      <c r="F6" t="s">
        <v>58</v>
      </c>
      <c r="G6" t="e">
        <f>_xlfn.XLOOKUP(A4,A4:A43,B10:B43,"Not_found")</f>
        <v>#VALUE!</v>
      </c>
    </row>
    <row r="7" spans="1:8" x14ac:dyDescent="0.35">
      <c r="A7" s="2">
        <v>1004</v>
      </c>
      <c r="B7" s="2" t="s">
        <v>11</v>
      </c>
      <c r="C7" s="2" t="s">
        <v>12</v>
      </c>
      <c r="D7" s="2">
        <v>81</v>
      </c>
      <c r="G7" t="e">
        <f>_xlfn.XLOOKUP(G6,A4:A43,D4:D43,"Student Not Found")</f>
        <v>#VALUE!</v>
      </c>
    </row>
    <row r="8" spans="1:8" x14ac:dyDescent="0.35">
      <c r="A8" s="2">
        <v>1005</v>
      </c>
      <c r="B8" s="2" t="s">
        <v>13</v>
      </c>
      <c r="C8" s="2" t="s">
        <v>6</v>
      </c>
      <c r="D8" s="2">
        <v>95</v>
      </c>
      <c r="G8" t="str">
        <f>_xlfn.XLOOKUP(J6,A4:A43,D4:D43,"Student Not Found")</f>
        <v>Student Not Found</v>
      </c>
    </row>
    <row r="9" spans="1:8" x14ac:dyDescent="0.35">
      <c r="A9" s="2">
        <v>1006</v>
      </c>
      <c r="B9" s="2" t="s">
        <v>14</v>
      </c>
      <c r="C9" s="2" t="s">
        <v>8</v>
      </c>
      <c r="D9" s="2">
        <v>84</v>
      </c>
    </row>
    <row r="10" spans="1:8" x14ac:dyDescent="0.35">
      <c r="A10" s="2">
        <v>1007</v>
      </c>
      <c r="B10" s="2" t="s">
        <v>15</v>
      </c>
      <c r="C10" s="2" t="s">
        <v>10</v>
      </c>
      <c r="D10" s="2">
        <v>73</v>
      </c>
      <c r="G10" t="e" cm="1">
        <f t="array" aca="1" ref="G10" ca="1">G11UP(1001,A4:A43,D4:D43,199)</f>
        <v>#NAME?</v>
      </c>
      <c r="H10" t="str">
        <f>_xlfn.XLOOKUP(B2,A4:A43,D4:D43,"Student Not Found")</f>
        <v>Student Not Found</v>
      </c>
    </row>
    <row r="11" spans="1:8" x14ac:dyDescent="0.35">
      <c r="A11" s="2">
        <v>1008</v>
      </c>
      <c r="B11" s="2" t="s">
        <v>16</v>
      </c>
      <c r="C11" s="2" t="s">
        <v>12</v>
      </c>
      <c r="D11" s="2">
        <v>89</v>
      </c>
    </row>
    <row r="12" spans="1:8" x14ac:dyDescent="0.35">
      <c r="A12" s="2">
        <v>1009</v>
      </c>
      <c r="B12" s="2" t="s">
        <v>17</v>
      </c>
      <c r="C12" s="2" t="s">
        <v>6</v>
      </c>
      <c r="D12" s="2">
        <v>67</v>
      </c>
      <c r="F12" t="s">
        <v>59</v>
      </c>
      <c r="G12">
        <f>INDEX(D10:D43,MATCH(1008,A10:A43,0))</f>
        <v>89</v>
      </c>
    </row>
    <row r="13" spans="1:8" x14ac:dyDescent="0.35">
      <c r="A13" s="2">
        <v>1010</v>
      </c>
      <c r="B13" s="2" t="s">
        <v>18</v>
      </c>
      <c r="C13" s="2" t="s">
        <v>8</v>
      </c>
      <c r="D13" s="2">
        <v>91</v>
      </c>
      <c r="F13" t="str">
        <f>_xlfn.XLOOKUP(2000,A4:A43,C4:C43,"Not_found")</f>
        <v>Not_found</v>
      </c>
    </row>
    <row r="14" spans="1:8" x14ac:dyDescent="0.35">
      <c r="A14" s="2">
        <v>1011</v>
      </c>
      <c r="B14" s="2" t="s">
        <v>19</v>
      </c>
      <c r="C14" s="2" t="s">
        <v>10</v>
      </c>
      <c r="D14" s="2">
        <v>86</v>
      </c>
    </row>
    <row r="15" spans="1:8" x14ac:dyDescent="0.35">
      <c r="A15" s="2">
        <v>1012</v>
      </c>
      <c r="B15" s="2" t="s">
        <v>20</v>
      </c>
      <c r="C15" s="2" t="s">
        <v>12</v>
      </c>
      <c r="D15" s="2">
        <v>79</v>
      </c>
      <c r="F15" t="e">
        <f>INDEX(D4:D43,MATCH(B14,A4:A43,0))</f>
        <v>#N/A</v>
      </c>
    </row>
    <row r="16" spans="1:8" x14ac:dyDescent="0.35">
      <c r="A16" s="2">
        <v>1013</v>
      </c>
      <c r="B16" s="2" t="s">
        <v>21</v>
      </c>
      <c r="C16" s="2" t="s">
        <v>6</v>
      </c>
      <c r="D16" s="2">
        <v>94</v>
      </c>
    </row>
    <row r="17" spans="1:4" x14ac:dyDescent="0.35">
      <c r="A17" s="2">
        <v>1014</v>
      </c>
      <c r="B17" s="2" t="s">
        <v>22</v>
      </c>
      <c r="C17" s="2" t="s">
        <v>8</v>
      </c>
      <c r="D17" s="2">
        <v>88</v>
      </c>
    </row>
    <row r="18" spans="1:4" x14ac:dyDescent="0.35">
      <c r="A18" s="2">
        <v>1015</v>
      </c>
      <c r="B18" s="2" t="s">
        <v>23</v>
      </c>
      <c r="C18" s="2" t="s">
        <v>10</v>
      </c>
      <c r="D18" s="2">
        <v>72</v>
      </c>
    </row>
    <row r="19" spans="1:4" x14ac:dyDescent="0.35">
      <c r="A19" s="2">
        <v>1016</v>
      </c>
      <c r="B19" s="2" t="s">
        <v>24</v>
      </c>
      <c r="C19" s="2" t="s">
        <v>12</v>
      </c>
      <c r="D19" s="2">
        <v>83</v>
      </c>
    </row>
    <row r="20" spans="1:4" x14ac:dyDescent="0.35">
      <c r="A20" s="2">
        <v>1017</v>
      </c>
      <c r="B20" s="2" t="s">
        <v>25</v>
      </c>
      <c r="C20" s="2" t="s">
        <v>6</v>
      </c>
      <c r="D20" s="2">
        <v>97</v>
      </c>
    </row>
    <row r="21" spans="1:4" x14ac:dyDescent="0.35">
      <c r="A21" s="2">
        <v>1018</v>
      </c>
      <c r="B21" s="2" t="s">
        <v>26</v>
      </c>
      <c r="C21" s="2" t="s">
        <v>8</v>
      </c>
      <c r="D21" s="2">
        <v>75</v>
      </c>
    </row>
    <row r="22" spans="1:4" x14ac:dyDescent="0.35">
      <c r="A22" s="2">
        <v>1019</v>
      </c>
      <c r="B22" s="2" t="s">
        <v>27</v>
      </c>
      <c r="C22" s="2" t="s">
        <v>10</v>
      </c>
      <c r="D22" s="2">
        <v>90</v>
      </c>
    </row>
    <row r="23" spans="1:4" x14ac:dyDescent="0.35">
      <c r="A23" s="2">
        <v>1020</v>
      </c>
      <c r="B23" s="2" t="s">
        <v>28</v>
      </c>
      <c r="C23" s="2" t="s">
        <v>12</v>
      </c>
      <c r="D23" s="2">
        <v>82</v>
      </c>
    </row>
    <row r="24" spans="1:4" x14ac:dyDescent="0.35">
      <c r="A24" s="2">
        <v>1021</v>
      </c>
      <c r="B24" s="2" t="s">
        <v>29</v>
      </c>
      <c r="C24" s="2" t="s">
        <v>6</v>
      </c>
      <c r="D24" s="2">
        <v>69</v>
      </c>
    </row>
    <row r="25" spans="1:4" x14ac:dyDescent="0.35">
      <c r="A25" s="2">
        <v>1022</v>
      </c>
      <c r="B25" s="2" t="s">
        <v>30</v>
      </c>
      <c r="C25" s="2" t="s">
        <v>8</v>
      </c>
      <c r="D25" s="2">
        <v>93</v>
      </c>
    </row>
    <row r="26" spans="1:4" x14ac:dyDescent="0.35">
      <c r="A26" s="2">
        <v>1023</v>
      </c>
      <c r="B26" s="2" t="s">
        <v>31</v>
      </c>
      <c r="C26" s="2" t="s">
        <v>10</v>
      </c>
      <c r="D26" s="2">
        <v>87</v>
      </c>
    </row>
    <row r="27" spans="1:4" x14ac:dyDescent="0.35">
      <c r="A27" s="2">
        <v>1024</v>
      </c>
      <c r="B27" s="2" t="s">
        <v>32</v>
      </c>
      <c r="C27" s="2" t="s">
        <v>12</v>
      </c>
      <c r="D27" s="2">
        <v>78</v>
      </c>
    </row>
    <row r="28" spans="1:4" x14ac:dyDescent="0.35">
      <c r="A28" s="2">
        <v>1025</v>
      </c>
      <c r="B28" s="2" t="s">
        <v>33</v>
      </c>
      <c r="C28" s="2" t="s">
        <v>6</v>
      </c>
      <c r="D28" s="2">
        <v>96</v>
      </c>
    </row>
    <row r="29" spans="1:4" x14ac:dyDescent="0.35">
      <c r="A29" s="2">
        <v>1026</v>
      </c>
      <c r="B29" s="2" t="s">
        <v>34</v>
      </c>
      <c r="C29" s="2" t="s">
        <v>8</v>
      </c>
      <c r="D29" s="2">
        <v>85</v>
      </c>
    </row>
    <row r="30" spans="1:4" x14ac:dyDescent="0.35">
      <c r="A30" s="2">
        <v>1027</v>
      </c>
      <c r="B30" s="2" t="s">
        <v>35</v>
      </c>
      <c r="C30" s="2" t="s">
        <v>10</v>
      </c>
      <c r="D30" s="2">
        <v>74</v>
      </c>
    </row>
    <row r="31" spans="1:4" x14ac:dyDescent="0.35">
      <c r="A31" s="2">
        <v>1028</v>
      </c>
      <c r="B31" s="2" t="s">
        <v>36</v>
      </c>
      <c r="C31" s="2" t="s">
        <v>12</v>
      </c>
      <c r="D31" s="2">
        <v>89</v>
      </c>
    </row>
    <row r="32" spans="1:4" x14ac:dyDescent="0.35">
      <c r="A32" s="2">
        <v>1029</v>
      </c>
      <c r="B32" s="2" t="s">
        <v>37</v>
      </c>
      <c r="C32" s="2" t="s">
        <v>6</v>
      </c>
      <c r="D32" s="2">
        <v>80</v>
      </c>
    </row>
    <row r="33" spans="1:4" x14ac:dyDescent="0.35">
      <c r="A33" s="2">
        <v>1030</v>
      </c>
      <c r="B33" s="2" t="s">
        <v>38</v>
      </c>
      <c r="C33" s="2" t="s">
        <v>8</v>
      </c>
      <c r="D33" s="2">
        <v>92</v>
      </c>
    </row>
    <row r="34" spans="1:4" x14ac:dyDescent="0.35">
      <c r="A34" s="2">
        <v>1031</v>
      </c>
      <c r="B34" s="2" t="s">
        <v>39</v>
      </c>
      <c r="C34" s="2" t="s">
        <v>10</v>
      </c>
      <c r="D34" s="2">
        <v>77</v>
      </c>
    </row>
    <row r="35" spans="1:4" x14ac:dyDescent="0.35">
      <c r="A35" s="2">
        <v>1032</v>
      </c>
      <c r="B35" s="2" t="s">
        <v>40</v>
      </c>
      <c r="C35" s="2" t="s">
        <v>12</v>
      </c>
      <c r="D35" s="2">
        <v>98</v>
      </c>
    </row>
    <row r="36" spans="1:4" x14ac:dyDescent="0.35">
      <c r="A36" s="2">
        <v>1033</v>
      </c>
      <c r="B36" s="2" t="s">
        <v>41</v>
      </c>
      <c r="C36" s="2" t="s">
        <v>6</v>
      </c>
      <c r="D36" s="2">
        <v>84</v>
      </c>
    </row>
    <row r="37" spans="1:4" x14ac:dyDescent="0.35">
      <c r="A37" s="2">
        <v>1034</v>
      </c>
      <c r="B37" s="2" t="s">
        <v>42</v>
      </c>
      <c r="C37" s="2" t="s">
        <v>8</v>
      </c>
      <c r="D37" s="2">
        <v>71</v>
      </c>
    </row>
    <row r="38" spans="1:4" x14ac:dyDescent="0.35">
      <c r="A38" s="2">
        <v>1035</v>
      </c>
      <c r="B38" s="2" t="s">
        <v>43</v>
      </c>
      <c r="C38" s="2" t="s">
        <v>10</v>
      </c>
      <c r="D38" s="2">
        <v>88</v>
      </c>
    </row>
    <row r="39" spans="1:4" x14ac:dyDescent="0.35">
      <c r="A39" s="2">
        <v>1036</v>
      </c>
      <c r="B39" s="2" t="s">
        <v>44</v>
      </c>
      <c r="C39" s="2" t="s">
        <v>12</v>
      </c>
      <c r="D39" s="2">
        <v>79</v>
      </c>
    </row>
    <row r="40" spans="1:4" x14ac:dyDescent="0.35">
      <c r="A40" s="2">
        <v>1037</v>
      </c>
      <c r="B40" s="2" t="s">
        <v>45</v>
      </c>
      <c r="C40" s="2" t="s">
        <v>6</v>
      </c>
      <c r="D40" s="2">
        <v>91</v>
      </c>
    </row>
    <row r="41" spans="1:4" x14ac:dyDescent="0.35">
      <c r="A41" s="2">
        <v>1038</v>
      </c>
      <c r="B41" s="2" t="s">
        <v>46</v>
      </c>
      <c r="C41" s="2" t="s">
        <v>8</v>
      </c>
      <c r="D41" s="2">
        <v>86</v>
      </c>
    </row>
    <row r="42" spans="1:4" x14ac:dyDescent="0.35">
      <c r="A42" s="2">
        <v>1039</v>
      </c>
      <c r="B42" s="2" t="s">
        <v>47</v>
      </c>
      <c r="C42" s="2" t="s">
        <v>10</v>
      </c>
      <c r="D42" s="2">
        <v>73</v>
      </c>
    </row>
    <row r="43" spans="1:4" x14ac:dyDescent="0.35">
      <c r="A43" s="2">
        <v>1040</v>
      </c>
      <c r="B43" s="2" t="s">
        <v>48</v>
      </c>
      <c r="C43" s="2" t="s">
        <v>12</v>
      </c>
      <c r="D43" s="2">
        <v>95</v>
      </c>
    </row>
  </sheetData>
  <autoFilter ref="A3:D43" xr:uid="{00000000-0009-0000-0000-000000000000}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32" customWidth="1"/>
    <col min="2" max="2" width="75" customWidth="1"/>
  </cols>
  <sheetData>
    <row r="1" spans="1:4" ht="21" x14ac:dyDescent="0.5">
      <c r="A1" s="5" t="s">
        <v>49</v>
      </c>
      <c r="B1" s="6"/>
      <c r="C1" s="6"/>
      <c r="D1" s="6"/>
    </row>
    <row r="3" spans="1:4" x14ac:dyDescent="0.35">
      <c r="A3" s="3" t="s">
        <v>50</v>
      </c>
      <c r="B3" s="4">
        <v>1025</v>
      </c>
    </row>
    <row r="4" spans="1:4" x14ac:dyDescent="0.35">
      <c r="A4" s="3" t="s">
        <v>51</v>
      </c>
      <c r="B4" t="e">
        <f ca="1">_xludf.XLOOKUP(B3,'Student Grades'!A4:A43,'Student Grades'!D4:D43,"Student Not Found")</f>
        <v>#NAME?</v>
      </c>
    </row>
    <row r="6" spans="1:4" x14ac:dyDescent="0.35">
      <c r="A6" s="3" t="s">
        <v>52</v>
      </c>
      <c r="B6">
        <f>IFERROR(INDEX('Student Grades'!D4:D43,MATCH(B3,'Student Grades'!A4:A43,0)),"Student Not Found")</f>
        <v>96</v>
      </c>
    </row>
    <row r="8" spans="1:4" x14ac:dyDescent="0.35">
      <c r="A8" s="3" t="s">
        <v>53</v>
      </c>
      <c r="B8" s="4">
        <v>9999</v>
      </c>
    </row>
    <row r="9" spans="1:4" x14ac:dyDescent="0.35">
      <c r="A9" s="3" t="s">
        <v>54</v>
      </c>
      <c r="B9" t="e">
        <f ca="1">_xludf.XLOOKUP(B8,'Student Grades'!A4:A43,'Student Grades'!D4:D43,"Student Not Found")</f>
        <v>#NAME?</v>
      </c>
    </row>
    <row r="10" spans="1:4" x14ac:dyDescent="0.35">
      <c r="A10" s="3" t="s">
        <v>55</v>
      </c>
      <c r="B10" t="str">
        <f>IFERROR(INDEX('Student Grades'!D4:D43,MATCH(B8,'Student Grades'!A4:A43,0)),"Student Not Found")</f>
        <v>Student Not Found</v>
      </c>
    </row>
    <row r="12" spans="1:4" x14ac:dyDescent="0.35">
      <c r="A12" s="3" t="s">
        <v>56</v>
      </c>
    </row>
    <row r="13" spans="1:4" x14ac:dyDescent="0.35">
      <c r="A13" t="s">
        <v>57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Grades</vt:lpstr>
      <vt:lpstr>Lookup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Hosam Eldeen</cp:lastModifiedBy>
  <dcterms:created xsi:type="dcterms:W3CDTF">2026-08-18T11:41:52Z</dcterms:created>
  <dcterms:modified xsi:type="dcterms:W3CDTF">2026-08-18T12:10:18Z</dcterms:modified>
</cp:coreProperties>
</file>